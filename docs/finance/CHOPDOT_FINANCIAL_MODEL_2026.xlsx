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Assumptions" sheetId="3" state="visible" r:id="rId3"/>
    <sheet name="Today_Snapshot" sheetId="4" state="visible" r:id="rId4"/>
    <sheet name="Forecast_5Y" sheetId="5" state="visible" r:id="rId5"/>
    <sheet name="Runway" sheetId="6" state="visible" r:id="rId6"/>
    <sheet name="Valuation" sheetId="7" state="visible" r:id="rId7"/>
    <sheet name="User_Co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[Red]($#,##0);-"/>
    <numFmt numFmtId="165" formatCode="#,##0;[Red](#,##0);-"/>
    <numFmt numFmtId="166" formatCode="0.0%"/>
    <numFmt numFmtId="167" formatCode="0.0"/>
    <numFmt numFmtId="168" formatCode="0.0x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DE68A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medium">
        <color rgb="006B72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165" fontId="0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166" fontId="0" fillId="2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EBITDA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'Forecast_5Y'!$B$1:$F$1</f>
            </numRef>
          </cat>
          <val>
            <numRef>
              <f>'Forecast_5Y'!$B$6:$F$6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'Forecast_5Y'!$B$1:$F$1</f>
            </numRef>
          </cat>
          <val>
            <numRef>
              <f>'Forecast_5Y'!$B$16:$F$16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C3" authorId="0" shapeId="0">
      <text>
        <t>Base-case subscription for serious organizers; editable strategy assumption.</t>
      </text>
    </comment>
    <comment ref="D3" authorId="0" shapeId="0">
      <text>
        <t>Base-case subscription for serious organizers; editable strategy assumption.</t>
      </text>
    </comment>
    <comment ref="E3" authorId="0" shapeId="0">
      <text>
        <t>Base-case subscription for serious organizers; editable strategy assumption.</t>
      </text>
    </comment>
    <comment ref="F3" authorId="0" shapeId="0">
      <text>
        <t>Base-case subscription for serious organizers; editable strategy assumption.</t>
      </text>
    </comment>
    <comment ref="G3" authorId="0" shapeId="0">
      <text>
        <t>Base-case subscription for serious organizers; editable strategy assumption.</t>
      </text>
    </comment>
    <comment ref="H3" authorId="0" shapeId="0">
      <text>
        <t>Base-case subscription for serious organizers; editable strategy assumption.</t>
      </text>
    </comment>
    <comment ref="C4" authorId="0" shapeId="0">
      <text>
        <t>Base-case pricing for community, club, and small-group organizers.</t>
      </text>
    </comment>
    <comment ref="D4" authorId="0" shapeId="0">
      <text>
        <t>Base-case pricing for community, club, and small-group organizers.</t>
      </text>
    </comment>
    <comment ref="E4" authorId="0" shapeId="0">
      <text>
        <t>Base-case pricing for community, club, and small-group organizers.</t>
      </text>
    </comment>
    <comment ref="F4" authorId="0" shapeId="0">
      <text>
        <t>Base-case pricing for community, club, and small-group organizers.</t>
      </text>
    </comment>
    <comment ref="G4" authorId="0" shapeId="0">
      <text>
        <t>Base-case pricing for community, club, and small-group organizers.</t>
      </text>
    </comment>
    <comment ref="H4" authorId="0" shapeId="0">
      <text>
        <t>Base-case pricing for community, club, and small-group organizers.</t>
      </text>
    </comment>
    <comment ref="C5" authorId="0" shapeId="0">
      <text>
        <t>Base-case pricing for SMB workflow tier.</t>
      </text>
    </comment>
    <comment ref="D5" authorId="0" shapeId="0">
      <text>
        <t>Base-case pricing for SMB workflow tier.</t>
      </text>
    </comment>
    <comment ref="E5" authorId="0" shapeId="0">
      <text>
        <t>Base-case pricing for SMB workflow tier.</t>
      </text>
    </comment>
    <comment ref="F5" authorId="0" shapeId="0">
      <text>
        <t>Base-case pricing for SMB workflow tier.</t>
      </text>
    </comment>
    <comment ref="G5" authorId="0" shapeId="0">
      <text>
        <t>Base-case pricing for SMB workflow tier.</t>
      </text>
    </comment>
    <comment ref="H5" authorId="0" shapeId="0">
      <text>
        <t>Base-case pricing for SMB workflow tier.</t>
      </text>
    </comment>
    <comment ref="C6" authorId="0" shapeId="0">
      <text>
        <t>Future-facing builder tier. Kept at $0 for Y1-Y2 in the revenue model.</t>
      </text>
    </comment>
    <comment ref="D6" authorId="0" shapeId="0">
      <text>
        <t>Future-facing builder tier. Kept at $0 for Y1-Y2 in the revenue model.</t>
      </text>
    </comment>
    <comment ref="E6" authorId="0" shapeId="0">
      <text>
        <t>Future-facing builder tier. Kept at $0 for Y1-Y2 in the revenue model.</t>
      </text>
    </comment>
    <comment ref="F6" authorId="0" shapeId="0">
      <text>
        <t>Future-facing builder tier. Kept at $0 for Y1-Y2 in the revenue model.</t>
      </text>
    </comment>
    <comment ref="G6" authorId="0" shapeId="0">
      <text>
        <t>Future-facing builder tier. Kept at $0 for Y1-Y2 in the revenue model.</t>
      </text>
    </comment>
    <comment ref="H6" authorId="0" shapeId="0">
      <text>
        <t>Future-facing builder tier. Kept at $0 for Y1-Y2 in the revenue model.</t>
      </text>
    </comment>
    <comment ref="C7" authorId="0" shapeId="0">
      <text>
        <t>Set to zero by default to avoid early transaction-fee complexity.</t>
      </text>
    </comment>
    <comment ref="D7" authorId="0" shapeId="0">
      <text>
        <t>Set to zero by default to avoid early transaction-fee complexity.</t>
      </text>
    </comment>
    <comment ref="E7" authorId="0" shapeId="0">
      <text>
        <t>Set to zero by default to avoid early transaction-fee complexity.</t>
      </text>
    </comment>
    <comment ref="F7" authorId="0" shapeId="0">
      <text>
        <t>Set to zero by default to avoid early transaction-fee complexity.</t>
      </text>
    </comment>
    <comment ref="G7" authorId="0" shapeId="0">
      <text>
        <t>Set to zero by default to avoid early transaction-fee complexity.</t>
      </text>
    </comment>
    <comment ref="H7" authorId="0" shapeId="0">
      <text>
        <t>Set to zero by default to avoid early transaction-fee complexity.</t>
      </text>
    </comment>
    <comment ref="C9" authorId="0" shapeId="0">
      <text>
        <t>Average live paying organizer accounts during each year.</t>
      </text>
    </comment>
    <comment ref="D9" authorId="0" shapeId="0">
      <text>
        <t>Average live paying organizer accounts during each year.</t>
      </text>
    </comment>
    <comment ref="E9" authorId="0" shapeId="0">
      <text>
        <t>Average live paying organizer accounts during each year.</t>
      </text>
    </comment>
    <comment ref="F9" authorId="0" shapeId="0">
      <text>
        <t>Average live paying organizer accounts during each year.</t>
      </text>
    </comment>
    <comment ref="G9" authorId="0" shapeId="0">
      <text>
        <t>Average live paying organizer accounts during each year.</t>
      </text>
    </comment>
    <comment ref="H9" authorId="0" shapeId="0">
      <text>
        <t>Average live paying organizer accounts during each year.</t>
      </text>
    </comment>
    <comment ref="C13" authorId="0" shapeId="0">
      <text>
        <t>Used to estimate infrastructure scale from paid accounts.</t>
      </text>
    </comment>
    <comment ref="D13" authorId="0" shapeId="0">
      <text>
        <t>Used to estimate infrastructure scale from paid accounts.</t>
      </text>
    </comment>
    <comment ref="E13" authorId="0" shapeId="0">
      <text>
        <t>Used to estimate infrastructure scale from paid accounts.</t>
      </text>
    </comment>
    <comment ref="F13" authorId="0" shapeId="0">
      <text>
        <t>Used to estimate infrastructure scale from paid accounts.</t>
      </text>
    </comment>
    <comment ref="G13" authorId="0" shapeId="0">
      <text>
        <t>Used to estimate infrastructure scale from paid accounts.</t>
      </text>
    </comment>
    <comment ref="H13" authorId="0" shapeId="0">
      <text>
        <t>Used to estimate infrastructure scale from paid accounts.</t>
      </text>
    </comment>
    <comment ref="C15" authorId="0" shapeId="0">
      <text>
        <t>Vercel Pro $20/mo + included usage credit. https://vercel.com/pricing</t>
      </text>
    </comment>
    <comment ref="D15" authorId="0" shapeId="0">
      <text>
        <t>Vercel Pro $20/mo + included usage credit. https://vercel.com/pricing</t>
      </text>
    </comment>
    <comment ref="E15" authorId="0" shapeId="0">
      <text>
        <t>Vercel Pro $20/mo + included usage credit. https://vercel.com/pricing</t>
      </text>
    </comment>
    <comment ref="F15" authorId="0" shapeId="0">
      <text>
        <t>Vercel Pro $20/mo + included usage credit. https://vercel.com/pricing</t>
      </text>
    </comment>
    <comment ref="G15" authorId="0" shapeId="0">
      <text>
        <t>Vercel Pro $20/mo + included usage credit. https://vercel.com/pricing</t>
      </text>
    </comment>
    <comment ref="H15" authorId="0" shapeId="0">
      <text>
        <t>Vercel Pro $20/mo + included usage credit. https://vercel.com/pricing</t>
      </text>
    </comment>
    <comment ref="C16" authorId="0" shapeId="0">
      <text>
        <t>Supabase Pro $25/mo. https://supabase.com/docs/guides/platform/billing-on-supabase</t>
      </text>
    </comment>
    <comment ref="D16" authorId="0" shapeId="0">
      <text>
        <t>Supabase Pro $25/mo. https://supabase.com/docs/guides/platform/billing-on-supabase</t>
      </text>
    </comment>
    <comment ref="E16" authorId="0" shapeId="0">
      <text>
        <t>Supabase Pro $25/mo. https://supabase.com/docs/guides/platform/billing-on-supabase</t>
      </text>
    </comment>
    <comment ref="F16" authorId="0" shapeId="0">
      <text>
        <t>Supabase Pro $25/mo. https://supabase.com/docs/guides/platform/billing-on-supabase</t>
      </text>
    </comment>
    <comment ref="G16" authorId="0" shapeId="0">
      <text>
        <t>Supabase Pro $25/mo. https://supabase.com/docs/guides/platform/billing-on-supabase</t>
      </text>
    </comment>
    <comment ref="H16" authorId="0" shapeId="0">
      <text>
        <t>Supabase Pro $25/mo. https://supabase.com/docs/guides/platform/billing-on-supabase</t>
      </text>
    </comment>
    <comment ref="C17" authorId="0" shapeId="0">
      <text>
        <t>Additional compute/projects beyond the first micro project are modeled as assumptions.</t>
      </text>
    </comment>
    <comment ref="D17" authorId="0" shapeId="0">
      <text>
        <t>Additional compute/projects beyond the first micro project are modeled as assumptions.</t>
      </text>
    </comment>
    <comment ref="E17" authorId="0" shapeId="0">
      <text>
        <t>Additional compute/projects beyond the first micro project are modeled as assumptions.</t>
      </text>
    </comment>
    <comment ref="F17" authorId="0" shapeId="0">
      <text>
        <t>Additional compute/projects beyond the first micro project are modeled as assumptions.</t>
      </text>
    </comment>
    <comment ref="G17" authorId="0" shapeId="0">
      <text>
        <t>Additional compute/projects beyond the first micro project are modeled as assumptions.</t>
      </text>
    </comment>
    <comment ref="H17" authorId="0" shapeId="0">
      <text>
        <t>Additional compute/projects beyond the first micro project are modeled as assumptions.</t>
      </text>
    </comment>
    <comment ref="C18" authorId="0" shapeId="0">
      <text>
        <t>Resend Pro $20/mo up to 50k emails; Scale $90/mo at higher volume. https://resend.com/pricing</t>
      </text>
    </comment>
    <comment ref="D18" authorId="0" shapeId="0">
      <text>
        <t>Resend Pro $20/mo up to 50k emails; Scale $90/mo at higher volume. https://resend.com/pricing</t>
      </text>
    </comment>
    <comment ref="E18" authorId="0" shapeId="0">
      <text>
        <t>Resend Pro $20/mo up to 50k emails; Scale $90/mo at higher volume. https://resend.com/pricing</t>
      </text>
    </comment>
    <comment ref="F18" authorId="0" shapeId="0">
      <text>
        <t>Resend Pro $20/mo up to 50k emails; Scale $90/mo at higher volume. https://resend.com/pricing</t>
      </text>
    </comment>
    <comment ref="G18" authorId="0" shapeId="0">
      <text>
        <t>Resend Pro $20/mo up to 50k emails; Scale $90/mo at higher volume. https://resend.com/pricing</t>
      </text>
    </comment>
    <comment ref="H18" authorId="0" shapeId="0">
      <text>
        <t>Resend Pro $20/mo up to 50k emails; Scale $90/mo at higher volume. https://resend.com/pricing</t>
      </text>
    </comment>
    <comment ref="C19" authorId="0" shapeId="0">
      <text>
        <t>Monitoring, error tracking, analytics, misc SaaS assumption.</t>
      </text>
    </comment>
    <comment ref="D19" authorId="0" shapeId="0">
      <text>
        <t>Monitoring, error tracking, analytics, misc SaaS assumption.</t>
      </text>
    </comment>
    <comment ref="E19" authorId="0" shapeId="0">
      <text>
        <t>Monitoring, error tracking, analytics, misc SaaS assumption.</t>
      </text>
    </comment>
    <comment ref="F19" authorId="0" shapeId="0">
      <text>
        <t>Monitoring, error tracking, analytics, misc SaaS assumption.</t>
      </text>
    </comment>
    <comment ref="G19" authorId="0" shapeId="0">
      <text>
        <t>Monitoring, error tracking, analytics, misc SaaS assumption.</t>
      </text>
    </comment>
    <comment ref="H19" authorId="0" shapeId="0">
      <text>
        <t>Monitoring, error tracking, analytics, misc SaaS assumption.</t>
      </text>
    </comment>
    <comment ref="C20" authorId="0" shapeId="0">
      <text>
        <t>Domain, DNS, and basic ops mail assumption.</t>
      </text>
    </comment>
    <comment ref="D20" authorId="0" shapeId="0">
      <text>
        <t>Domain, DNS, and basic ops mail assumption.</t>
      </text>
    </comment>
    <comment ref="E20" authorId="0" shapeId="0">
      <text>
        <t>Domain, DNS, and basic ops mail assumption.</t>
      </text>
    </comment>
    <comment ref="F20" authorId="0" shapeId="0">
      <text>
        <t>Domain, DNS, and basic ops mail assumption.</t>
      </text>
    </comment>
    <comment ref="G20" authorId="0" shapeId="0">
      <text>
        <t>Domain, DNS, and basic ops mail assumption.</t>
      </text>
    </comment>
    <comment ref="H20" authorId="0" shapeId="0">
      <text>
        <t>Domain, DNS, and basic ops mail assumption.</t>
      </text>
    </comment>
    <comment ref="C22" authorId="0" shapeId="0">
      <text>
        <t>Blended assumption for auth/realtime/storage/email overage and support-side infrastructure.</t>
      </text>
    </comment>
    <comment ref="D22" authorId="0" shapeId="0">
      <text>
        <t>Blended assumption for auth/realtime/storage/email overage and support-side infrastructure.</t>
      </text>
    </comment>
    <comment ref="E22" authorId="0" shapeId="0">
      <text>
        <t>Blended assumption for auth/realtime/storage/email overage and support-side infrastructure.</t>
      </text>
    </comment>
    <comment ref="F22" authorId="0" shapeId="0">
      <text>
        <t>Blended assumption for auth/realtime/storage/email overage and support-side infrastructure.</t>
      </text>
    </comment>
    <comment ref="G22" authorId="0" shapeId="0">
      <text>
        <t>Blended assumption for auth/realtime/storage/email overage and support-side infrastructure.</t>
      </text>
    </comment>
    <comment ref="H22" authorId="0" shapeId="0">
      <text>
        <t>Blended assumption for auth/realtime/storage/email overage and support-side infrastructure.</t>
      </text>
    </comment>
    <comment ref="C23" authorId="0" shapeId="0">
      <text>
        <t>Set to zero early; increase only if ChopDot deliberately subsidizes external execution costs.</t>
      </text>
    </comment>
    <comment ref="D23" authorId="0" shapeId="0">
      <text>
        <t>Set to zero early; increase only if ChopDot deliberately subsidizes external execution costs.</t>
      </text>
    </comment>
    <comment ref="E23" authorId="0" shapeId="0">
      <text>
        <t>Set to zero early; increase only if ChopDot deliberately subsidizes external execution costs.</t>
      </text>
    </comment>
    <comment ref="F23" authorId="0" shapeId="0">
      <text>
        <t>Set to zero early; increase only if ChopDot deliberately subsidizes external execution costs.</t>
      </text>
    </comment>
    <comment ref="G23" authorId="0" shapeId="0">
      <text>
        <t>Set to zero early; increase only if ChopDot deliberately subsidizes external execution costs.</t>
      </text>
    </comment>
    <comment ref="H23" authorId="0" shapeId="0">
      <text>
        <t>Set to zero early; increase only if ChopDot deliberately subsidizes external execution costs.</t>
      </text>
    </comment>
    <comment ref="C25" authorId="0" shapeId="0">
      <text>
        <t>Editable planning assumption, not sourced.</t>
      </text>
    </comment>
    <comment ref="D25" authorId="0" shapeId="0">
      <text>
        <t>Editable planning assumption, not sourced.</t>
      </text>
    </comment>
    <comment ref="E25" authorId="0" shapeId="0">
      <text>
        <t>Editable planning assumption, not sourced.</t>
      </text>
    </comment>
    <comment ref="F25" authorId="0" shapeId="0">
      <text>
        <t>Editable planning assumption, not sourced.</t>
      </text>
    </comment>
    <comment ref="G25" authorId="0" shapeId="0">
      <text>
        <t>Editable planning assumption, not sourced.</t>
      </text>
    </comment>
    <comment ref="H25" authorId="0" shapeId="0">
      <text>
        <t>Editable planning assumption, not sourced.</t>
      </text>
    </comment>
    <comment ref="C37" authorId="0" shapeId="0">
      <text>
        <t>Retainer + entity maintenance assumption. Increase if custody/regulated posture increases.</t>
      </text>
    </comment>
    <comment ref="D37" authorId="0" shapeId="0">
      <text>
        <t>Retainer + entity maintenance assumption. Increase if custody/regulated posture increases.</t>
      </text>
    </comment>
    <comment ref="E37" authorId="0" shapeId="0">
      <text>
        <t>Retainer + entity maintenance assumption. Increase if custody/regulated posture increases.</t>
      </text>
    </comment>
    <comment ref="F37" authorId="0" shapeId="0">
      <text>
        <t>Retainer + entity maintenance assumption. Increase if custody/regulated posture increases.</t>
      </text>
    </comment>
    <comment ref="G37" authorId="0" shapeId="0">
      <text>
        <t>Retainer + entity maintenance assumption. Increase if custody/regulated posture increases.</t>
      </text>
    </comment>
    <comment ref="H37" authorId="0" shapeId="0">
      <text>
        <t>Retainer + entity maintenance assumption. Increase if custody/regulated posture increases.</t>
      </text>
    </comment>
    <comment ref="C43" authorId="0" shapeId="0">
      <text>
        <t>Enter current cash if you want runway from existing cash.</t>
      </text>
    </comment>
    <comment ref="D43" authorId="0" shapeId="0">
      <text>
        <t>Enter current cash if you want runway from existing cash.</t>
      </text>
    </comment>
    <comment ref="E43" authorId="0" shapeId="0">
      <text>
        <t>Enter current cash if you want runway from existing cash.</t>
      </text>
    </comment>
    <comment ref="F43" authorId="0" shapeId="0">
      <text>
        <t>Enter current cash if you want runway from existing cash.</t>
      </text>
    </comment>
    <comment ref="G43" authorId="0" shapeId="0">
      <text>
        <t>Enter current cash if you want runway from existing cash.</t>
      </text>
    </comment>
    <comment ref="H43" authorId="0" shapeId="0">
      <text>
        <t>Enter current cash if you want runway from existing cash.</t>
      </text>
    </comment>
    <comment ref="C47" authorId="0" shapeId="0">
      <text>
        <t>Editable scenario assumption, not a market quote.</t>
      </text>
    </comment>
    <comment ref="D47" authorId="0" shapeId="0">
      <text>
        <t>Editable scenario assumption, not a market quote.</t>
      </text>
    </comment>
    <comment ref="E47" authorId="0" shapeId="0">
      <text>
        <t>Editable scenario assumption, not a market quote.</t>
      </text>
    </comment>
    <comment ref="F47" authorId="0" shapeId="0">
      <text>
        <t>Editable scenario assumption, not a market quote.</t>
      </text>
    </comment>
    <comment ref="G47" authorId="0" shapeId="0">
      <text>
        <t>Editable scenario assumption, not a market quote.</t>
      </text>
    </comment>
    <comment ref="H47" authorId="0" shapeId="0">
      <text>
        <t>Editable scenario assumption, not a market quote.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ChopDot Financial Model (2026 Baseline)</t>
        </is>
      </c>
      <c r="B1" s="2" t="n"/>
    </row>
    <row r="2">
      <c r="A2" s="3" t="inlineStr">
        <is>
          <t>Purpose</t>
        </is>
      </c>
      <c r="B2" s="4" t="inlineStr">
        <is>
          <t>Editable 5-year operating model for ChopDot today vs tomorrow planning.</t>
        </is>
      </c>
    </row>
    <row r="3">
      <c r="A3" s="3" t="inlineStr">
        <is>
          <t>How to use</t>
        </is>
      </c>
      <c r="B3" s="4" t="inlineStr">
        <is>
          <t>Change blue input cells on the Assumptions sheet. Excel/Sheets will recalculate formulas.</t>
        </is>
      </c>
    </row>
    <row r="4">
      <c r="A4" s="3" t="inlineStr">
        <is>
          <t>What this model covers</t>
        </is>
      </c>
      <c r="B4" s="4" t="inlineStr">
        <is>
          <t>Current run costs, customer pricing, revenue model, 5-year P&amp;L, runway, and implied valuation scenarios.</t>
        </is>
      </c>
    </row>
    <row r="5">
      <c r="A5" s="3" t="inlineStr">
        <is>
          <t>What this model does not do</t>
        </is>
      </c>
      <c r="B5" s="4" t="inlineStr">
        <is>
          <t>It does not provide legal advice, debt modeling, taxes by jurisdiction, or guaranteed fundraising/valuation outcomes.</t>
        </is>
      </c>
    </row>
    <row r="6">
      <c r="A6" s="3" t="inlineStr">
        <is>
          <t>Key principle</t>
        </is>
      </c>
      <c r="B6" s="4" t="inlineStr">
        <is>
          <t>Today = coordination + proof software. Tomorrow = modular commitment infrastructure.</t>
        </is>
      </c>
    </row>
    <row r="7">
      <c r="A7" s="3" t="inlineStr">
        <is>
          <t>Launch posture</t>
        </is>
      </c>
      <c r="B7" s="4" t="inlineStr">
        <is>
          <t>Non-custodial, no yield, no pooled funds, explicit approvals, optional proof.</t>
        </is>
      </c>
    </row>
    <row r="8">
      <c r="A8" s="5" t="n"/>
      <c r="B8" s="4" t="n"/>
    </row>
    <row r="9">
      <c r="A9" s="3" t="inlineStr">
        <is>
          <t>Color key</t>
        </is>
      </c>
      <c r="B9" s="4" t="n"/>
    </row>
    <row r="10">
      <c r="A10" s="6" t="inlineStr">
        <is>
          <t>Blue</t>
        </is>
      </c>
      <c r="B10" s="4" t="inlineStr">
        <is>
          <t>Editable assumptions</t>
        </is>
      </c>
    </row>
    <row r="11">
      <c r="A11" s="7" t="inlineStr">
        <is>
          <t>Green</t>
        </is>
      </c>
      <c r="B11" s="4" t="inlineStr">
        <is>
          <t>Sourced inputs / references</t>
        </is>
      </c>
    </row>
    <row r="12">
      <c r="A12" s="8" t="inlineStr">
        <is>
          <t>Important: valuation sheet shows private ARR-multiple scenarios, not public market cap.</t>
        </is>
      </c>
      <c r="B12" s="4" t="inlineStr">
        <is>
          <t>Scenario-sensitive / review</t>
        </is>
      </c>
    </row>
    <row r="13">
      <c r="A13" t="inlineStr">
        <is>
          <t>Runway is modeled from net burn after revenue using Y1 average assumptions and editable raise scenarios.</t>
        </is>
      </c>
    </row>
    <row r="14">
      <c r="A14" t="inlineStr">
        <is>
          <t>Update the Assumptions sheet first; forecast, runway, valuation, and user-cost sheets recalculate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25" customWidth="1" min="4" max="4"/>
  </cols>
  <sheetData>
    <row r="1">
      <c r="A1" s="9" t="inlineStr">
        <is>
          <t>Source</t>
        </is>
      </c>
      <c r="B1" s="9" t="inlineStr">
        <is>
          <t>URL</t>
        </is>
      </c>
      <c r="C1" s="9" t="inlineStr">
        <is>
          <t>What used</t>
        </is>
      </c>
      <c r="D1" s="9" t="inlineStr">
        <is>
          <t>Date context</t>
        </is>
      </c>
    </row>
    <row r="2">
      <c r="A2" s="5" t="inlineStr">
        <is>
          <t>Vercel pricing</t>
        </is>
      </c>
      <c r="B2" s="4" t="inlineStr">
        <is>
          <t>https://vercel.com/pricing</t>
        </is>
      </c>
      <c r="C2" s="4" t="inlineStr">
        <is>
          <t>Pro $20/mo, included credit, infrastructure pricing</t>
        </is>
      </c>
      <c r="D2" s="4" t="inlineStr">
        <is>
          <t>Crawled 2026-04-08</t>
        </is>
      </c>
    </row>
    <row r="3">
      <c r="A3" s="5" t="inlineStr">
        <is>
          <t>Vercel plans</t>
        </is>
      </c>
      <c r="B3" s="4" t="inlineStr">
        <is>
          <t>https://vercel.com/docs/plans</t>
        </is>
      </c>
      <c r="C3" s="4" t="inlineStr">
        <is>
          <t>Plan behavior and spend management</t>
        </is>
      </c>
      <c r="D3" s="4" t="inlineStr">
        <is>
          <t>Docs updated 2026-01-07</t>
        </is>
      </c>
    </row>
    <row r="4">
      <c r="A4" s="5" t="inlineStr">
        <is>
          <t>Supabase billing</t>
        </is>
      </c>
      <c r="B4" s="4" t="inlineStr">
        <is>
          <t>https://supabase.com/docs/guides/platform/billing-on-supabase</t>
        </is>
      </c>
      <c r="C4" s="4" t="inlineStr">
        <is>
          <t>Pro plan quotas and overages</t>
        </is>
      </c>
      <c r="D4" s="4" t="inlineStr">
        <is>
          <t>Crawled 2026-04-08</t>
        </is>
      </c>
    </row>
    <row r="5">
      <c r="A5" s="5" t="inlineStr">
        <is>
          <t>Supabase MAU</t>
        </is>
      </c>
      <c r="B5" s="4" t="inlineStr">
        <is>
          <t>https://supabase.com/docs/guides/platform/manage-your-usage/monthly-active-users</t>
        </is>
      </c>
      <c r="C5" s="4" t="inlineStr">
        <is>
          <t>100k MAU included, overage pricing</t>
        </is>
      </c>
      <c r="D5" s="4" t="inlineStr">
        <is>
          <t>Crawled 2026-04-08</t>
        </is>
      </c>
    </row>
    <row r="6">
      <c r="A6" s="5" t="inlineStr">
        <is>
          <t>Supabase compute</t>
        </is>
      </c>
      <c r="B6" s="4" t="inlineStr">
        <is>
          <t>https://supabase.com/docs/guides/platform/manage-your-usage/compute</t>
        </is>
      </c>
      <c r="C6" s="4" t="inlineStr">
        <is>
          <t>Micro project compute and credits</t>
        </is>
      </c>
      <c r="D6" s="4" t="inlineStr">
        <is>
          <t>Crawled 2026-04-08</t>
        </is>
      </c>
    </row>
    <row r="7">
      <c r="A7" s="5" t="inlineStr">
        <is>
          <t>Supabase storage</t>
        </is>
      </c>
      <c r="B7" s="4" t="inlineStr">
        <is>
          <t>https://supabase.com/docs/guides/storage/pricing</t>
        </is>
      </c>
      <c r="C7" s="4" t="inlineStr">
        <is>
          <t>Storage overage pricing</t>
        </is>
      </c>
      <c r="D7" s="4" t="inlineStr">
        <is>
          <t>Crawled 2026-04-08</t>
        </is>
      </c>
    </row>
    <row r="8">
      <c r="A8" s="5" t="inlineStr">
        <is>
          <t>Supabase realtime</t>
        </is>
      </c>
      <c r="B8" s="4" t="inlineStr">
        <is>
          <t>https://supabase.com/docs/guides/realtime/pricing</t>
        </is>
      </c>
      <c r="C8" s="4" t="inlineStr">
        <is>
          <t>Realtime messages/connections pricing</t>
        </is>
      </c>
      <c r="D8" s="4" t="inlineStr">
        <is>
          <t>Crawled 2026-04-08</t>
        </is>
      </c>
    </row>
    <row r="9">
      <c r="A9" s="5" t="inlineStr">
        <is>
          <t>Resend pricing</t>
        </is>
      </c>
      <c r="B9" s="4" t="inlineStr">
        <is>
          <t>https://resend.com/pricing</t>
        </is>
      </c>
      <c r="C9" s="4" t="inlineStr">
        <is>
          <t>Email plan pricing</t>
        </is>
      </c>
      <c r="D9" s="4" t="inlineStr">
        <is>
          <t>Crawled 2026-04-08</t>
        </is>
      </c>
    </row>
    <row r="10">
      <c r="A10" s="5" t="inlineStr">
        <is>
          <t>FINMA FinTech</t>
        </is>
      </c>
      <c r="B10" s="4" t="inlineStr">
        <is>
          <t>https://www.finma.ch/en/authorisation/fintech/</t>
        </is>
      </c>
      <c r="C10" s="4" t="inlineStr">
        <is>
          <t>Swiss legal perimeter reference</t>
        </is>
      </c>
      <c r="D10" s="4" t="inlineStr">
        <is>
          <t>Crawled 2026-04-08</t>
        </is>
      </c>
    </row>
    <row r="11">
      <c r="A11" s="5" t="inlineStr">
        <is>
          <t>FINMA FinTech licence</t>
        </is>
      </c>
      <c r="B11" s="4" t="inlineStr">
        <is>
          <t>https://www.finma.ch/en/authorisation/fintech/fintech-bewilligung/</t>
        </is>
      </c>
      <c r="C11" s="4" t="inlineStr">
        <is>
          <t>Deposit/yield boundary reference</t>
        </is>
      </c>
      <c r="D11" s="4" t="inlineStr">
        <is>
          <t>Crawled 2026-04-08</t>
        </is>
      </c>
    </row>
    <row r="12">
      <c r="A12" s="5" t="inlineStr">
        <is>
          <t>FDPIC transfers</t>
        </is>
      </c>
      <c r="B12" s="4" t="inlineStr">
        <is>
          <t>https://www.edoeb.admin.ch/en/cross-border-transfer-of-personal-data</t>
        </is>
      </c>
      <c r="C12" s="4" t="inlineStr">
        <is>
          <t>Swiss privacy transfer reference</t>
        </is>
      </c>
      <c r="D12" s="4" t="inlineStr">
        <is>
          <t>Crawled 2026-04-08</t>
        </is>
      </c>
    </row>
    <row r="13">
      <c r="A13" s="5" t="inlineStr">
        <is>
          <t>EU crypto-assets</t>
        </is>
      </c>
      <c r="B13" s="4" t="inlineStr">
        <is>
          <t>https://finance.ec.europa.eu/digital-finance/crypto-assets_en</t>
        </is>
      </c>
      <c r="C13" s="4" t="inlineStr">
        <is>
          <t>MiCA regulatory perimeter reference</t>
        </is>
      </c>
      <c r="D13" s="4" t="inlineStr">
        <is>
          <t>Crawled 2026-04-08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9" t="inlineStr">
        <is>
          <t>Category</t>
        </is>
      </c>
      <c r="B1" s="9" t="inlineStr">
        <is>
          <t>Metric</t>
        </is>
      </c>
      <c r="C1" s="9" t="inlineStr">
        <is>
          <t>Today / Unit</t>
        </is>
      </c>
      <c r="D1" s="9" t="inlineStr">
        <is>
          <t>Y1</t>
        </is>
      </c>
      <c r="E1" s="9" t="inlineStr">
        <is>
          <t>Y2</t>
        </is>
      </c>
      <c r="F1" s="9" t="inlineStr">
        <is>
          <t>Y3</t>
        </is>
      </c>
      <c r="G1" s="9" t="inlineStr">
        <is>
          <t>Y4</t>
        </is>
      </c>
      <c r="H1" s="10" t="inlineStr">
        <is>
          <t>Y5</t>
        </is>
      </c>
    </row>
    <row r="2">
      <c r="A2" s="11" t="inlineStr">
        <is>
          <t>Pricing</t>
        </is>
      </c>
      <c r="B2" s="4" t="n"/>
      <c r="C2" s="12" t="n"/>
      <c r="D2" s="12" t="n"/>
      <c r="E2" s="12" t="n"/>
      <c r="F2" s="12" t="n"/>
      <c r="G2" s="12" t="n"/>
      <c r="H2" s="12" t="n"/>
    </row>
    <row r="3">
      <c r="A3" s="5" t="inlineStr">
        <is>
          <t>Pricing</t>
        </is>
      </c>
      <c r="B3" s="4" t="inlineStr">
        <is>
          <t>Organizer Pro monthly price</t>
        </is>
      </c>
      <c r="C3" s="13" t="n">
        <v>12</v>
      </c>
      <c r="D3" s="13" t="n">
        <v>12</v>
      </c>
      <c r="E3" s="13" t="n">
        <v>12</v>
      </c>
      <c r="F3" s="13" t="n">
        <v>12</v>
      </c>
      <c r="G3" s="13" t="n">
        <v>12</v>
      </c>
      <c r="H3" s="13" t="n">
        <v>12</v>
      </c>
    </row>
    <row r="4">
      <c r="A4" s="5" t="inlineStr">
        <is>
          <t>Pricing</t>
        </is>
      </c>
      <c r="B4" s="4" t="inlineStr">
        <is>
          <t>Community / Club monthly price</t>
        </is>
      </c>
      <c r="C4" s="13" t="n">
        <v>49</v>
      </c>
      <c r="D4" s="13" t="n">
        <v>49</v>
      </c>
      <c r="E4" s="13" t="n">
        <v>49</v>
      </c>
      <c r="F4" s="13" t="n">
        <v>49</v>
      </c>
      <c r="G4" s="13" t="n">
        <v>49</v>
      </c>
      <c r="H4" s="13" t="n">
        <v>49</v>
      </c>
    </row>
    <row r="5">
      <c r="A5" s="5" t="inlineStr">
        <is>
          <t>Pricing</t>
        </is>
      </c>
      <c r="B5" s="4" t="inlineStr">
        <is>
          <t>SMB / Provider monthly price</t>
        </is>
      </c>
      <c r="C5" s="13" t="n">
        <v>149</v>
      </c>
      <c r="D5" s="13" t="n">
        <v>149</v>
      </c>
      <c r="E5" s="13" t="n">
        <v>149</v>
      </c>
      <c r="F5" s="13" t="n">
        <v>149</v>
      </c>
      <c r="G5" s="13" t="n">
        <v>149</v>
      </c>
      <c r="H5" s="13" t="n">
        <v>149</v>
      </c>
    </row>
    <row r="6">
      <c r="A6" s="5" t="inlineStr">
        <is>
          <t>Pricing</t>
        </is>
      </c>
      <c r="B6" s="4" t="inlineStr">
        <is>
          <t>Builder / API monthly price</t>
        </is>
      </c>
      <c r="C6" s="13" t="n">
        <v>499</v>
      </c>
      <c r="D6" s="13" t="n">
        <v>0</v>
      </c>
      <c r="E6" s="13" t="n">
        <v>0</v>
      </c>
      <c r="F6" s="13" t="n">
        <v>499</v>
      </c>
      <c r="G6" s="13" t="n">
        <v>499</v>
      </c>
      <c r="H6" s="13" t="n">
        <v>499</v>
      </c>
    </row>
    <row r="7">
      <c r="A7" s="5" t="inlineStr">
        <is>
          <t>Pricing</t>
        </is>
      </c>
      <c r="B7" s="4" t="inlineStr">
        <is>
          <t>Optional proof / closeout fee per month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</row>
    <row r="8">
      <c r="A8" s="11" t="inlineStr">
        <is>
          <t>Customer counts (average paying accounts in year)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Counts</t>
        </is>
      </c>
      <c r="B9" s="4" t="inlineStr">
        <is>
          <t>Organizer Pro accounts</t>
        </is>
      </c>
      <c r="C9" s="14" t="n">
        <v>0</v>
      </c>
      <c r="D9" s="14" t="n">
        <v>250</v>
      </c>
      <c r="E9" s="14" t="n">
        <v>900</v>
      </c>
      <c r="F9" s="14" t="n">
        <v>2500</v>
      </c>
      <c r="G9" s="14" t="n">
        <v>6000</v>
      </c>
      <c r="H9" s="14" t="n">
        <v>12000</v>
      </c>
    </row>
    <row r="10">
      <c r="A10" s="5" t="inlineStr">
        <is>
          <t>Counts</t>
        </is>
      </c>
      <c r="B10" s="4" t="inlineStr">
        <is>
          <t>Community / Club accounts</t>
        </is>
      </c>
      <c r="C10" s="14" t="n">
        <v>0</v>
      </c>
      <c r="D10" s="14" t="n">
        <v>25</v>
      </c>
      <c r="E10" s="14" t="n">
        <v>90</v>
      </c>
      <c r="F10" s="14" t="n">
        <v>250</v>
      </c>
      <c r="G10" s="14" t="n">
        <v>600</v>
      </c>
      <c r="H10" s="14" t="n">
        <v>1200</v>
      </c>
    </row>
    <row r="11">
      <c r="A11" s="5" t="inlineStr">
        <is>
          <t>Counts</t>
        </is>
      </c>
      <c r="B11" s="4" t="inlineStr">
        <is>
          <t>SMB / Provider accounts</t>
        </is>
      </c>
      <c r="C11" s="14" t="n">
        <v>0</v>
      </c>
      <c r="D11" s="14" t="n">
        <v>5</v>
      </c>
      <c r="E11" s="14" t="n">
        <v>15</v>
      </c>
      <c r="F11" s="14" t="n">
        <v>50</v>
      </c>
      <c r="G11" s="14" t="n">
        <v>150</v>
      </c>
      <c r="H11" s="14" t="n">
        <v>300</v>
      </c>
    </row>
    <row r="12">
      <c r="A12" s="5" t="inlineStr">
        <is>
          <t>Counts</t>
        </is>
      </c>
      <c r="B12" s="4" t="inlineStr">
        <is>
          <t>Builder / API accounts</t>
        </is>
      </c>
      <c r="C12" s="14" t="n">
        <v>0</v>
      </c>
      <c r="D12" s="14" t="n">
        <v>0</v>
      </c>
      <c r="E12" s="14" t="n">
        <v>0</v>
      </c>
      <c r="F12" s="14" t="n">
        <v>5</v>
      </c>
      <c r="G12" s="14" t="n">
        <v>20</v>
      </c>
      <c r="H12" s="14" t="n">
        <v>60</v>
      </c>
    </row>
    <row r="13">
      <c r="A13" s="5" t="inlineStr">
        <is>
          <t>Counts</t>
        </is>
      </c>
      <c r="B13" s="4" t="inlineStr">
        <is>
          <t>Avg active users per paying account</t>
        </is>
      </c>
      <c r="C13" s="14" t="n">
        <v>4</v>
      </c>
      <c r="D13" s="14" t="n">
        <v>4</v>
      </c>
      <c r="E13" s="14" t="n">
        <v>4</v>
      </c>
      <c r="F13" s="14" t="n">
        <v>4</v>
      </c>
      <c r="G13" s="14" t="n">
        <v>4</v>
      </c>
      <c r="H13" s="14" t="n">
        <v>4</v>
      </c>
    </row>
    <row r="14">
      <c r="A14" s="11" t="inlineStr">
        <is>
          <t>Core vendor costs (monthly)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Vendors</t>
        </is>
      </c>
      <c r="B15" s="4" t="inlineStr">
        <is>
          <t>Vercel Pro seat(s) cost</t>
        </is>
      </c>
      <c r="C15" s="15" t="n">
        <v>20</v>
      </c>
      <c r="D15" s="15" t="n">
        <v>20</v>
      </c>
      <c r="E15" s="15" t="n">
        <v>20</v>
      </c>
      <c r="F15" s="15" t="n">
        <v>20</v>
      </c>
      <c r="G15" s="15" t="n">
        <v>20</v>
      </c>
      <c r="H15" s="15" t="n">
        <v>20</v>
      </c>
    </row>
    <row r="16">
      <c r="A16" s="5" t="inlineStr">
        <is>
          <t>Vendors</t>
        </is>
      </c>
      <c r="B16" s="4" t="inlineStr">
        <is>
          <t>Supabase Pro org cost</t>
        </is>
      </c>
      <c r="C16" s="15" t="n">
        <v>25</v>
      </c>
      <c r="D16" s="15" t="n">
        <v>25</v>
      </c>
      <c r="E16" s="15" t="n">
        <v>25</v>
      </c>
      <c r="F16" s="15" t="n">
        <v>25</v>
      </c>
      <c r="G16" s="15" t="n">
        <v>25</v>
      </c>
      <c r="H16" s="15" t="n">
        <v>25</v>
      </c>
    </row>
    <row r="17">
      <c r="A17" s="5" t="inlineStr">
        <is>
          <t>Vendors</t>
        </is>
      </c>
      <c r="B17" s="4" t="inlineStr">
        <is>
          <t>Supabase extra compute / projects</t>
        </is>
      </c>
      <c r="C17" s="13" t="n">
        <v>10</v>
      </c>
      <c r="D17" s="13" t="n">
        <v>10</v>
      </c>
      <c r="E17" s="13" t="n">
        <v>20</v>
      </c>
      <c r="F17" s="13" t="n">
        <v>40</v>
      </c>
      <c r="G17" s="13" t="n">
        <v>80</v>
      </c>
      <c r="H17" s="13" t="n">
        <v>120</v>
      </c>
    </row>
    <row r="18">
      <c r="A18" s="5" t="inlineStr">
        <is>
          <t>Vendors</t>
        </is>
      </c>
      <c r="B18" s="4" t="inlineStr">
        <is>
          <t>Resend email cost</t>
        </is>
      </c>
      <c r="C18" s="15" t="n">
        <v>20</v>
      </c>
      <c r="D18" s="15" t="n">
        <v>20</v>
      </c>
      <c r="E18" s="15" t="n">
        <v>20</v>
      </c>
      <c r="F18" s="15" t="n">
        <v>20</v>
      </c>
      <c r="G18" s="15" t="n">
        <v>90</v>
      </c>
      <c r="H18" s="15" t="n">
        <v>90</v>
      </c>
    </row>
    <row r="19">
      <c r="A19" s="5" t="inlineStr">
        <is>
          <t>Vendors</t>
        </is>
      </c>
      <c r="B19" s="4" t="inlineStr">
        <is>
          <t>Monitoring / misc tools</t>
        </is>
      </c>
      <c r="C19" s="13" t="n">
        <v>35</v>
      </c>
      <c r="D19" s="13" t="n">
        <v>35</v>
      </c>
      <c r="E19" s="13" t="n">
        <v>50</v>
      </c>
      <c r="F19" s="13" t="n">
        <v>75</v>
      </c>
      <c r="G19" s="13" t="n">
        <v>100</v>
      </c>
      <c r="H19" s="13" t="n">
        <v>150</v>
      </c>
    </row>
    <row r="20">
      <c r="A20" s="5" t="inlineStr">
        <is>
          <t>Vendors</t>
        </is>
      </c>
      <c r="B20" s="4" t="inlineStr">
        <is>
          <t>Domains / DNS / workspace</t>
        </is>
      </c>
      <c r="C20" s="13" t="n">
        <v>15</v>
      </c>
      <c r="D20" s="13" t="n">
        <v>15</v>
      </c>
      <c r="E20" s="13" t="n">
        <v>20</v>
      </c>
      <c r="F20" s="13" t="n">
        <v>25</v>
      </c>
      <c r="G20" s="13" t="n">
        <v>30</v>
      </c>
      <c r="H20" s="13" t="n">
        <v>40</v>
      </c>
    </row>
    <row r="21">
      <c r="A21" s="11" t="inlineStr">
        <is>
          <t>Variable delivery assumptions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5" t="inlineStr">
        <is>
          <t>Variable</t>
        </is>
      </c>
      <c r="B22" s="4" t="inlineStr">
        <is>
          <t>Variable platform cost per active user / month</t>
        </is>
      </c>
      <c r="C22" s="13" t="n">
        <v>0.05</v>
      </c>
      <c r="D22" s="13" t="n">
        <v>0.05</v>
      </c>
      <c r="E22" s="13" t="n">
        <v>0.05</v>
      </c>
      <c r="F22" s="13" t="n">
        <v>0.06</v>
      </c>
      <c r="G22" s="13" t="n">
        <v>0.07000000000000001</v>
      </c>
      <c r="H22" s="13" t="n">
        <v>0.08</v>
      </c>
    </row>
    <row r="23">
      <c r="A23" s="5" t="inlineStr">
        <is>
          <t>Variable</t>
        </is>
      </c>
      <c r="B23" s="4" t="inlineStr">
        <is>
          <t>Payment / proof pass-through subsidized by ChopDot per paying account / month</t>
        </is>
      </c>
      <c r="C23" s="16" t="n">
        <v>0</v>
      </c>
      <c r="D23" s="16" t="n">
        <v>0</v>
      </c>
      <c r="E23" s="16" t="n">
        <v>0</v>
      </c>
      <c r="F23" s="16" t="n">
        <v>0.25</v>
      </c>
      <c r="G23" s="16" t="n">
        <v>0.5</v>
      </c>
      <c r="H23" s="16" t="n">
        <v>0.75</v>
      </c>
    </row>
    <row r="24">
      <c r="A24" s="11" t="inlineStr">
        <is>
          <t>People and overhead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5" t="inlineStr">
        <is>
          <t>Salary</t>
        </is>
      </c>
      <c r="B25" s="4" t="inlineStr">
        <is>
          <t>Founder annual base salary</t>
        </is>
      </c>
      <c r="C25" s="13" t="n">
        <v>72000</v>
      </c>
      <c r="D25" s="13" t="n">
        <v>72000</v>
      </c>
      <c r="E25" s="13" t="n">
        <v>72000</v>
      </c>
      <c r="F25" s="13" t="n">
        <v>72000</v>
      </c>
      <c r="G25" s="13" t="n">
        <v>72000</v>
      </c>
      <c r="H25" s="13" t="n">
        <v>72000</v>
      </c>
    </row>
    <row r="26">
      <c r="A26" s="5" t="inlineStr">
        <is>
          <t>Salary</t>
        </is>
      </c>
      <c r="B26" s="4" t="inlineStr">
        <is>
          <t>Engineer annual base salary</t>
        </is>
      </c>
      <c r="C26" s="13" t="n">
        <v>120000</v>
      </c>
      <c r="D26" s="13" t="n">
        <v>120000</v>
      </c>
      <c r="E26" s="13" t="n">
        <v>120000</v>
      </c>
      <c r="F26" s="13" t="n">
        <v>125000</v>
      </c>
      <c r="G26" s="13" t="n">
        <v>130000</v>
      </c>
      <c r="H26" s="13" t="n">
        <v>135000</v>
      </c>
    </row>
    <row r="27">
      <c r="A27" s="5" t="inlineStr">
        <is>
          <t>Salary</t>
        </is>
      </c>
      <c r="B27" s="4" t="inlineStr">
        <is>
          <t>Product/Design annual base salary</t>
        </is>
      </c>
      <c r="C27" s="13" t="n">
        <v>100000</v>
      </c>
      <c r="D27" s="13" t="n">
        <v>100000</v>
      </c>
      <c r="E27" s="13" t="n">
        <v>105000</v>
      </c>
      <c r="F27" s="13" t="n">
        <v>110000</v>
      </c>
      <c r="G27" s="13" t="n">
        <v>115000</v>
      </c>
      <c r="H27" s="13" t="n">
        <v>120000</v>
      </c>
    </row>
    <row r="28">
      <c r="A28" s="5" t="inlineStr">
        <is>
          <t>Salary</t>
        </is>
      </c>
      <c r="B28" s="4" t="inlineStr">
        <is>
          <t>Ops/Compliance annual base salary</t>
        </is>
      </c>
      <c r="C28" s="13" t="n">
        <v>110000</v>
      </c>
      <c r="D28" s="13" t="n">
        <v>110000</v>
      </c>
      <c r="E28" s="13" t="n">
        <v>115000</v>
      </c>
      <c r="F28" s="13" t="n">
        <v>120000</v>
      </c>
      <c r="G28" s="13" t="n">
        <v>125000</v>
      </c>
      <c r="H28" s="13" t="n">
        <v>130000</v>
      </c>
    </row>
    <row r="29">
      <c r="A29" s="5" t="inlineStr">
        <is>
          <t>Salary</t>
        </is>
      </c>
      <c r="B29" s="4" t="inlineStr">
        <is>
          <t>Support/Community annual base salary</t>
        </is>
      </c>
      <c r="C29" s="13" t="n">
        <v>70000</v>
      </c>
      <c r="D29" s="13" t="n">
        <v>70000</v>
      </c>
      <c r="E29" s="13" t="n">
        <v>75000</v>
      </c>
      <c r="F29" s="13" t="n">
        <v>80000</v>
      </c>
      <c r="G29" s="13" t="n">
        <v>85000</v>
      </c>
      <c r="H29" s="13" t="n">
        <v>90000</v>
      </c>
    </row>
    <row r="30">
      <c r="A30" s="5" t="inlineStr">
        <is>
          <t>Headcount</t>
        </is>
      </c>
      <c r="B30" s="4" t="inlineStr">
        <is>
          <t>Founders</t>
        </is>
      </c>
      <c r="C30" s="14" t="n">
        <v>2</v>
      </c>
      <c r="D30" s="14" t="n">
        <v>2</v>
      </c>
      <c r="E30" s="14" t="n">
        <v>2</v>
      </c>
      <c r="F30" s="14" t="n">
        <v>2</v>
      </c>
      <c r="G30" s="14" t="n">
        <v>2</v>
      </c>
      <c r="H30" s="14" t="n">
        <v>2</v>
      </c>
    </row>
    <row r="31">
      <c r="A31" s="5" t="inlineStr">
        <is>
          <t>Headcount</t>
        </is>
      </c>
      <c r="B31" s="4" t="inlineStr">
        <is>
          <t>Engineering</t>
        </is>
      </c>
      <c r="C31" s="14" t="n">
        <v>0</v>
      </c>
      <c r="D31" s="14" t="n">
        <v>1</v>
      </c>
      <c r="E31" s="14" t="n">
        <v>2</v>
      </c>
      <c r="F31" s="14" t="n">
        <v>4</v>
      </c>
      <c r="G31" s="14" t="n">
        <v>6</v>
      </c>
      <c r="H31" s="14" t="n">
        <v>8</v>
      </c>
    </row>
    <row r="32">
      <c r="A32" s="5" t="inlineStr">
        <is>
          <t>Headcount</t>
        </is>
      </c>
      <c r="B32" s="4" t="inlineStr">
        <is>
          <t>Product/Design</t>
        </is>
      </c>
      <c r="C32" s="14" t="n">
        <v>0</v>
      </c>
      <c r="D32" s="14" t="n">
        <v>0</v>
      </c>
      <c r="E32" s="14" t="n">
        <v>1</v>
      </c>
      <c r="F32" s="14" t="n">
        <v>1</v>
      </c>
      <c r="G32" s="14" t="n">
        <v>2</v>
      </c>
      <c r="H32" s="14" t="n">
        <v>3</v>
      </c>
    </row>
    <row r="33">
      <c r="A33" s="5" t="inlineStr">
        <is>
          <t>Headcount</t>
        </is>
      </c>
      <c r="B33" s="4" t="inlineStr">
        <is>
          <t>Ops/Compliance</t>
        </is>
      </c>
      <c r="C33" s="14" t="n">
        <v>0</v>
      </c>
      <c r="D33" s="14" t="n">
        <v>0</v>
      </c>
      <c r="E33" s="14" t="n">
        <v>0</v>
      </c>
      <c r="F33" s="14" t="n">
        <v>1</v>
      </c>
      <c r="G33" s="14" t="n">
        <v>1</v>
      </c>
      <c r="H33" s="14" t="n">
        <v>2</v>
      </c>
    </row>
    <row r="34">
      <c r="A34" s="5" t="inlineStr">
        <is>
          <t>Headcount</t>
        </is>
      </c>
      <c r="B34" s="4" t="inlineStr">
        <is>
          <t>Support/Community</t>
        </is>
      </c>
      <c r="C34" s="14" t="n">
        <v>0</v>
      </c>
      <c r="D34" s="14" t="n">
        <v>0</v>
      </c>
      <c r="E34" s="14" t="n">
        <v>1</v>
      </c>
      <c r="F34" s="14" t="n">
        <v>1</v>
      </c>
      <c r="G34" s="14" t="n">
        <v>2</v>
      </c>
      <c r="H34" s="14" t="n">
        <v>4</v>
      </c>
    </row>
    <row r="35">
      <c r="A35" s="5" t="inlineStr">
        <is>
          <t>Overhead</t>
        </is>
      </c>
      <c r="B35" s="4" t="inlineStr">
        <is>
          <t>Employer tax / benefits rate</t>
        </is>
      </c>
      <c r="C35" s="17" t="n">
        <v>0.2</v>
      </c>
      <c r="D35" s="17" t="n">
        <v>0.2</v>
      </c>
      <c r="E35" s="17" t="n">
        <v>0.2</v>
      </c>
      <c r="F35" s="17" t="n">
        <v>0.2</v>
      </c>
      <c r="G35" s="17" t="n">
        <v>0.2</v>
      </c>
      <c r="H35" s="17" t="n">
        <v>0.2</v>
      </c>
    </row>
    <row r="36">
      <c r="A36" s="11" t="inlineStr">
        <is>
          <t>Operating expense assumptions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Opex</t>
        </is>
      </c>
      <c r="B37" s="4" t="inlineStr">
        <is>
          <t>Legal / compliance monthly</t>
        </is>
      </c>
      <c r="C37" s="13" t="n">
        <v>1500</v>
      </c>
      <c r="D37" s="13" t="n">
        <v>1500</v>
      </c>
      <c r="E37" s="13" t="n">
        <v>2000</v>
      </c>
      <c r="F37" s="13" t="n">
        <v>3000</v>
      </c>
      <c r="G37" s="13" t="n">
        <v>5000</v>
      </c>
      <c r="H37" s="13" t="n">
        <v>8000</v>
      </c>
    </row>
    <row r="38">
      <c r="A38" s="5" t="inlineStr">
        <is>
          <t>Opex</t>
        </is>
      </c>
      <c r="B38" s="4" t="inlineStr">
        <is>
          <t>Accounting / finance monthly</t>
        </is>
      </c>
      <c r="C38" s="13" t="n">
        <v>300</v>
      </c>
      <c r="D38" s="13" t="n">
        <v>300</v>
      </c>
      <c r="E38" s="13" t="n">
        <v>500</v>
      </c>
      <c r="F38" s="13" t="n">
        <v>1000</v>
      </c>
      <c r="G38" s="13" t="n">
        <v>1500</v>
      </c>
      <c r="H38" s="13" t="n">
        <v>2500</v>
      </c>
    </row>
    <row r="39">
      <c r="A39" s="5" t="inlineStr">
        <is>
          <t>Opex</t>
        </is>
      </c>
      <c r="B39" s="4" t="inlineStr">
        <is>
          <t>Security review / tooling monthly</t>
        </is>
      </c>
      <c r="C39" s="13" t="n">
        <v>500</v>
      </c>
      <c r="D39" s="13" t="n">
        <v>500</v>
      </c>
      <c r="E39" s="13" t="n">
        <v>750</v>
      </c>
      <c r="F39" s="13" t="n">
        <v>1000</v>
      </c>
      <c r="G39" s="13" t="n">
        <v>1500</v>
      </c>
      <c r="H39" s="13" t="n">
        <v>2500</v>
      </c>
    </row>
    <row r="40">
      <c r="A40" s="5" t="inlineStr">
        <is>
          <t>Opex</t>
        </is>
      </c>
      <c r="B40" s="4" t="inlineStr">
        <is>
          <t>Marketing as % of revenue</t>
        </is>
      </c>
      <c r="C40" s="17" t="n">
        <v>0.1</v>
      </c>
      <c r="D40" s="17" t="n">
        <v>0.1</v>
      </c>
      <c r="E40" s="17" t="n">
        <v>0.12</v>
      </c>
      <c r="F40" s="17" t="n">
        <v>0.15</v>
      </c>
      <c r="G40" s="17" t="n">
        <v>0.18</v>
      </c>
      <c r="H40" s="17" t="n">
        <v>0.2</v>
      </c>
    </row>
    <row r="41">
      <c r="A41" s="5" t="inlineStr">
        <is>
          <t>Opex</t>
        </is>
      </c>
      <c r="B41" s="4" t="inlineStr">
        <is>
          <t>Minimum marketing spend monthly</t>
        </is>
      </c>
      <c r="C41" s="13" t="n">
        <v>1000</v>
      </c>
      <c r="D41" s="13" t="n">
        <v>1000</v>
      </c>
      <c r="E41" s="13" t="n">
        <v>2000</v>
      </c>
      <c r="F41" s="13" t="n">
        <v>4000</v>
      </c>
      <c r="G41" s="13" t="n">
        <v>8000</v>
      </c>
      <c r="H41" s="13" t="n">
        <v>12000</v>
      </c>
    </row>
    <row r="42">
      <c r="A42" s="11" t="inlineStr">
        <is>
          <t>Runway and valuation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5" t="inlineStr">
        <is>
          <t>Financing</t>
        </is>
      </c>
      <c r="B43" s="4" t="inlineStr">
        <is>
          <t>Current cash on hand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</row>
    <row r="44">
      <c r="A44" s="5" t="inlineStr">
        <is>
          <t>Financing</t>
        </is>
      </c>
      <c r="B44" s="4" t="inlineStr">
        <is>
          <t>Raise scenario A</t>
        </is>
      </c>
      <c r="C44" s="13" t="n">
        <v>250000</v>
      </c>
      <c r="D44" s="13" t="n">
        <v>250000</v>
      </c>
      <c r="E44" s="13" t="n">
        <v>250000</v>
      </c>
      <c r="F44" s="13" t="n">
        <v>250000</v>
      </c>
      <c r="G44" s="13" t="n">
        <v>250000</v>
      </c>
      <c r="H44" s="13" t="n">
        <v>250000</v>
      </c>
    </row>
    <row r="45">
      <c r="A45" s="5" t="inlineStr">
        <is>
          <t>Financing</t>
        </is>
      </c>
      <c r="B45" s="4" t="inlineStr">
        <is>
          <t>Raise scenario B</t>
        </is>
      </c>
      <c r="C45" s="13" t="n">
        <v>500000</v>
      </c>
      <c r="D45" s="13" t="n">
        <v>500000</v>
      </c>
      <c r="E45" s="13" t="n">
        <v>500000</v>
      </c>
      <c r="F45" s="13" t="n">
        <v>500000</v>
      </c>
      <c r="G45" s="13" t="n">
        <v>500000</v>
      </c>
      <c r="H45" s="13" t="n">
        <v>500000</v>
      </c>
    </row>
    <row r="46">
      <c r="A46" s="5" t="inlineStr">
        <is>
          <t>Financing</t>
        </is>
      </c>
      <c r="B46" s="4" t="inlineStr">
        <is>
          <t>Raise scenario C</t>
        </is>
      </c>
      <c r="C46" s="13" t="n">
        <v>1000000</v>
      </c>
      <c r="D46" s="13" t="n">
        <v>1000000</v>
      </c>
      <c r="E46" s="13" t="n">
        <v>1000000</v>
      </c>
      <c r="F46" s="13" t="n">
        <v>1000000</v>
      </c>
      <c r="G46" s="13" t="n">
        <v>1000000</v>
      </c>
      <c r="H46" s="13" t="n">
        <v>1000000</v>
      </c>
    </row>
    <row r="47">
      <c r="A47" s="5" t="inlineStr">
        <is>
          <t>Valuation</t>
        </is>
      </c>
      <c r="B47" s="4" t="inlineStr">
        <is>
          <t>Low ARR multiple</t>
        </is>
      </c>
      <c r="C47" s="17" t="n">
        <v>4</v>
      </c>
      <c r="D47" s="17" t="n">
        <v>4</v>
      </c>
      <c r="E47" s="17" t="n">
        <v>4</v>
      </c>
      <c r="F47" s="17" t="n">
        <v>4</v>
      </c>
      <c r="G47" s="17" t="n">
        <v>4</v>
      </c>
      <c r="H47" s="17" t="n">
        <v>4</v>
      </c>
    </row>
    <row r="48">
      <c r="A48" s="5" t="inlineStr">
        <is>
          <t>Valuation</t>
        </is>
      </c>
      <c r="B48" s="4" t="inlineStr">
        <is>
          <t>Base ARR multiple</t>
        </is>
      </c>
      <c r="C48" s="17" t="n">
        <v>8</v>
      </c>
      <c r="D48" s="17" t="n">
        <v>8</v>
      </c>
      <c r="E48" s="17" t="n">
        <v>8</v>
      </c>
      <c r="F48" s="17" t="n">
        <v>8</v>
      </c>
      <c r="G48" s="17" t="n">
        <v>8</v>
      </c>
      <c r="H48" s="17" t="n">
        <v>8</v>
      </c>
    </row>
    <row r="49">
      <c r="A49" s="5" t="inlineStr">
        <is>
          <t>Valuation</t>
        </is>
      </c>
      <c r="B49" s="4" t="inlineStr">
        <is>
          <t>High ARR multiple</t>
        </is>
      </c>
      <c r="C49" s="17" t="n">
        <v>12</v>
      </c>
      <c r="D49" s="17" t="n">
        <v>12</v>
      </c>
      <c r="E49" s="17" t="n">
        <v>12</v>
      </c>
      <c r="F49" s="17" t="n">
        <v>12</v>
      </c>
      <c r="G49" s="17" t="n">
        <v>12</v>
      </c>
      <c r="H49" s="17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3" t="inlineStr">
        <is>
          <t>Lean platform monthly cost</t>
        </is>
      </c>
      <c r="B2" s="12">
        <f>SUM(Assumptions!C15:C20)</f>
        <v/>
      </c>
    </row>
    <row r="3">
      <c r="A3" s="3" t="inlineStr">
        <is>
          <t>Governance / compliance monthly cost</t>
        </is>
      </c>
      <c r="B3" s="12">
        <f>SUM(Assumptions!C37:C39)</f>
        <v/>
      </c>
    </row>
    <row r="4">
      <c r="A4" s="3" t="inlineStr">
        <is>
          <t>Current monthly revenue run-rate (Y1 average)</t>
        </is>
      </c>
      <c r="B4" s="12">
        <f>Forecast_5Y!B6/12</f>
        <v/>
      </c>
    </row>
    <row r="5">
      <c r="A5" s="3" t="inlineStr">
        <is>
          <t>Full company monthly operating cost before revenue (Y1 average)</t>
        </is>
      </c>
      <c r="B5" s="4">
        <f>(Forecast_5Y!B8+Forecast_5Y!B9+SUM(Forecast_5Y!B11:B15))/12</f>
        <v/>
      </c>
    </row>
    <row r="6">
      <c r="A6" s="3" t="inlineStr">
        <is>
          <t>Current monthly net burn after revenue (Y1 average)</t>
        </is>
      </c>
      <c r="B6" s="4">
        <f>MAX(-Forecast_5Y!B16/12,0)</f>
        <v/>
      </c>
    </row>
    <row r="7">
      <c r="A7" s="3" t="inlineStr">
        <is>
          <t>Organizer Pro price / month</t>
        </is>
      </c>
      <c r="B7" s="4">
        <f>Assumptions!C3</f>
        <v/>
      </c>
    </row>
    <row r="8">
      <c r="A8" s="3" t="inlineStr">
        <is>
          <t>Community / Club price / month</t>
        </is>
      </c>
      <c r="B8" s="12">
        <f>Assumptions!C4</f>
        <v/>
      </c>
    </row>
    <row r="9">
      <c r="A9" s="3" t="inlineStr">
        <is>
          <t>SMB / Provider price / month</t>
        </is>
      </c>
      <c r="B9" s="12">
        <f>Assumptions!C5</f>
        <v/>
      </c>
    </row>
    <row r="10">
      <c r="A10" s="3" t="inlineStr">
        <is>
          <t>Builder / API price / month</t>
        </is>
      </c>
      <c r="B10" s="12">
        <f>Assumptions!C6</f>
        <v/>
      </c>
    </row>
    <row r="11">
      <c r="A11" s="3" t="inlineStr">
        <is>
          <t>Estimated Y1 ARR</t>
        </is>
      </c>
      <c r="B11" s="12">
        <f>Forecast_5Y!B6</f>
        <v/>
      </c>
    </row>
    <row r="12">
      <c r="A12" s="3" t="inlineStr">
        <is>
          <t>Estimated Y3 ARR</t>
        </is>
      </c>
      <c r="B12" s="12">
        <f>Forecast_5Y!D6</f>
        <v/>
      </c>
    </row>
    <row r="13">
      <c r="A13" s="3" t="inlineStr">
        <is>
          <t>Estimated Y5 ARR</t>
        </is>
      </c>
      <c r="B13" s="12">
        <f>Forecast_5Y!F6</f>
        <v/>
      </c>
    </row>
    <row r="14">
      <c r="A14" s="3" t="inlineStr">
        <is>
          <t>Estimated Y5 EBITDA</t>
        </is>
      </c>
      <c r="B14" s="18">
        <f>Forecast_5Y!F16</f>
        <v/>
      </c>
    </row>
    <row r="15">
      <c r="A15" s="3" t="inlineStr">
        <is>
          <t>Implied Y5 valuation (base multiple)</t>
        </is>
      </c>
      <c r="B15" s="18">
        <f>Valuation!D9</f>
        <v/>
      </c>
    </row>
    <row r="16">
      <c r="A16" s="5" t="inlineStr">
        <is>
          <t>Runway months with $500k raise</t>
        </is>
      </c>
      <c r="B16" s="4">
        <f>Runway!D7</f>
        <v/>
      </c>
    </row>
    <row r="17">
      <c r="A17" s="3" t="inlineStr">
        <is>
          <t>Runway months with $1.0m raise</t>
        </is>
      </c>
      <c r="B17" s="4">
        <f>Runway!E7</f>
        <v/>
      </c>
    </row>
    <row r="18">
      <c r="A18" s="5" t="n"/>
      <c r="B18" s="4" t="n"/>
    </row>
    <row r="19">
      <c r="A19" s="5" t="n"/>
      <c r="B19" s="4" t="n"/>
    </row>
    <row r="20">
      <c r="A20" s="5" t="n"/>
      <c r="B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9" t="inlineStr">
        <is>
          <t>Metric</t>
        </is>
      </c>
      <c r="B1" s="9" t="inlineStr">
        <is>
          <t>Y1</t>
        </is>
      </c>
      <c r="C1" s="9" t="inlineStr">
        <is>
          <t>Y2</t>
        </is>
      </c>
      <c r="D1" s="9" t="inlineStr">
        <is>
          <t>Y3</t>
        </is>
      </c>
      <c r="E1" s="9" t="inlineStr">
        <is>
          <t>Y4</t>
        </is>
      </c>
      <c r="F1" s="9" t="inlineStr">
        <is>
          <t>Y5</t>
        </is>
      </c>
    </row>
    <row r="2">
      <c r="A2" s="19" t="inlineStr">
        <is>
          <t>Organizer Pro revenue</t>
        </is>
      </c>
      <c r="B2" s="12">
        <f>12*Assumptions!D3*Assumptions!D9</f>
        <v/>
      </c>
      <c r="C2" s="12">
        <f>12*Assumptions!E3*Assumptions!E9</f>
        <v/>
      </c>
      <c r="D2" s="12">
        <f>12*Assumptions!F3*Assumptions!F9</f>
        <v/>
      </c>
      <c r="E2" s="12">
        <f>12*Assumptions!G3*Assumptions!G9</f>
        <v/>
      </c>
      <c r="F2" s="12">
        <f>12*Assumptions!H3*Assumptions!H9</f>
        <v/>
      </c>
    </row>
    <row r="3">
      <c r="A3" s="19" t="inlineStr">
        <is>
          <t>Community / Club revenue</t>
        </is>
      </c>
      <c r="B3" s="12">
        <f>12*Assumptions!D4*Assumptions!D10</f>
        <v/>
      </c>
      <c r="C3" s="12">
        <f>12*Assumptions!E4*Assumptions!E10</f>
        <v/>
      </c>
      <c r="D3" s="12">
        <f>12*Assumptions!F4*Assumptions!F10</f>
        <v/>
      </c>
      <c r="E3" s="12">
        <f>12*Assumptions!G4*Assumptions!G10</f>
        <v/>
      </c>
      <c r="F3" s="12">
        <f>12*Assumptions!H4*Assumptions!H10</f>
        <v/>
      </c>
    </row>
    <row r="4">
      <c r="A4" s="19" t="inlineStr">
        <is>
          <t>SMB / Provider revenue</t>
        </is>
      </c>
      <c r="B4" s="12">
        <f>12*Assumptions!D5*Assumptions!D11</f>
        <v/>
      </c>
      <c r="C4" s="12">
        <f>12*Assumptions!E5*Assumptions!E11</f>
        <v/>
      </c>
      <c r="D4" s="12">
        <f>12*Assumptions!F5*Assumptions!F11</f>
        <v/>
      </c>
      <c r="E4" s="12">
        <f>12*Assumptions!G5*Assumptions!G11</f>
        <v/>
      </c>
      <c r="F4" s="12">
        <f>12*Assumptions!H5*Assumptions!H11</f>
        <v/>
      </c>
    </row>
    <row r="5">
      <c r="A5" s="19" t="inlineStr">
        <is>
          <t>Builder / API revenue</t>
        </is>
      </c>
      <c r="B5" s="12">
        <f>12*Assumptions!D6*Assumptions!D12</f>
        <v/>
      </c>
      <c r="C5" s="12">
        <f>12*Assumptions!E6*Assumptions!E12</f>
        <v/>
      </c>
      <c r="D5" s="12">
        <f>12*Assumptions!F6*Assumptions!F12</f>
        <v/>
      </c>
      <c r="E5" s="12">
        <f>12*Assumptions!G6*Assumptions!G12</f>
        <v/>
      </c>
      <c r="F5" s="12">
        <f>12*Assumptions!H6*Assumptions!H12</f>
        <v/>
      </c>
    </row>
    <row r="6">
      <c r="A6" s="3" t="inlineStr">
        <is>
          <t>Total revenue</t>
        </is>
      </c>
      <c r="B6" s="12">
        <f>SUM(B2:B5)</f>
        <v/>
      </c>
      <c r="C6" s="12">
        <f>SUM(C2:C5)</f>
        <v/>
      </c>
      <c r="D6" s="12">
        <f>SUM(D2:D5)</f>
        <v/>
      </c>
      <c r="E6" s="12">
        <f>SUM(E2:E5)</f>
        <v/>
      </c>
      <c r="F6" s="12">
        <f>SUM(F2:F5)</f>
        <v/>
      </c>
    </row>
    <row r="7">
      <c r="A7" s="19" t="inlineStr">
        <is>
          <t>Active users</t>
        </is>
      </c>
      <c r="B7" s="20">
        <f>SUM(Assumptions!D9:Assumptions!D12)*Assumptions!D13</f>
        <v/>
      </c>
      <c r="C7" s="20">
        <f>SUM(Assumptions!E9:Assumptions!E12)*Assumptions!E13</f>
        <v/>
      </c>
      <c r="D7" s="20">
        <f>SUM(Assumptions!F9:Assumptions!F12)*Assumptions!F13</f>
        <v/>
      </c>
      <c r="E7" s="20">
        <f>SUM(Assumptions!G9:Assumptions!G12)*Assumptions!G13</f>
        <v/>
      </c>
      <c r="F7" s="20">
        <f>SUM(Assumptions!H9:Assumptions!H12)*Assumptions!H13</f>
        <v/>
      </c>
    </row>
    <row r="8">
      <c r="A8" s="19" t="inlineStr">
        <is>
          <t>Fixed platform cost</t>
        </is>
      </c>
      <c r="B8" s="12">
        <f>12*SUM(Assumptions!D15:Assumptions!D20)</f>
        <v/>
      </c>
      <c r="C8" s="12">
        <f>12*SUM(Assumptions!E15:Assumptions!E20)</f>
        <v/>
      </c>
      <c r="D8" s="12">
        <f>12*SUM(Assumptions!F15:Assumptions!F20)</f>
        <v/>
      </c>
      <c r="E8" s="12">
        <f>12*SUM(Assumptions!G15:Assumptions!G20)</f>
        <v/>
      </c>
      <c r="F8" s="12">
        <f>12*SUM(Assumptions!H15:Assumptions!H20)</f>
        <v/>
      </c>
    </row>
    <row r="9">
      <c r="A9" s="19" t="inlineStr">
        <is>
          <t>Variable platform cost</t>
        </is>
      </c>
      <c r="B9" s="12">
        <f>12*(B7*Assumptions!D22 + SUM(Assumptions!D9:Assumptions!D12)*Assumptions!D23)</f>
        <v/>
      </c>
      <c r="C9" s="12">
        <f>12*(C7*Assumptions!E22 + SUM(Assumptions!E9:Assumptions!E12)*Assumptions!E23)</f>
        <v/>
      </c>
      <c r="D9" s="12">
        <f>12*(D7*Assumptions!F22 + SUM(Assumptions!F9:Assumptions!F12)*Assumptions!F23)</f>
        <v/>
      </c>
      <c r="E9" s="12">
        <f>12*(E7*Assumptions!G22 + SUM(Assumptions!G9:Assumptions!G12)*Assumptions!G23)</f>
        <v/>
      </c>
      <c r="F9" s="12">
        <f>12*(F7*Assumptions!H22 + SUM(Assumptions!H9:Assumptions!H12)*Assumptions!H23)</f>
        <v/>
      </c>
    </row>
    <row r="10">
      <c r="A10" s="3" t="inlineStr">
        <is>
          <t>Gross profit</t>
        </is>
      </c>
      <c r="B10" s="12">
        <f>B6-B8-B9</f>
        <v/>
      </c>
      <c r="C10" s="12">
        <f>C6-C8-C9</f>
        <v/>
      </c>
      <c r="D10" s="12">
        <f>D6-D8-D9</f>
        <v/>
      </c>
      <c r="E10" s="12">
        <f>E6-E8-E9</f>
        <v/>
      </c>
      <c r="F10" s="12">
        <f>F6-F8-F9</f>
        <v/>
      </c>
    </row>
    <row r="11">
      <c r="A11" s="19" t="inlineStr">
        <is>
          <t>Payroll</t>
        </is>
      </c>
      <c r="B11" s="12">
        <f>(Assumptions!D25*Assumptions!D30+Assumptions!D26*Assumptions!D31+Assumptions!D27*Assumptions!D32+Assumptions!D28*Assumptions!D33+Assumptions!D29*Assumptions!D34)*(1+Assumptions!D35)</f>
        <v/>
      </c>
      <c r="C11" s="12">
        <f>(Assumptions!E25*Assumptions!E30+Assumptions!E26*Assumptions!E31+Assumptions!E27*Assumptions!E32+Assumptions!E28*Assumptions!E33+Assumptions!E29*Assumptions!E34)*(1+Assumptions!E35)</f>
        <v/>
      </c>
      <c r="D11" s="12">
        <f>(Assumptions!F25*Assumptions!F30+Assumptions!F26*Assumptions!F31+Assumptions!F27*Assumptions!F32+Assumptions!F28*Assumptions!F33+Assumptions!F29*Assumptions!F34)*(1+Assumptions!F35)</f>
        <v/>
      </c>
      <c r="E11" s="12">
        <f>(Assumptions!G25*Assumptions!G30+Assumptions!G26*Assumptions!G31+Assumptions!G27*Assumptions!G32+Assumptions!G28*Assumptions!G33+Assumptions!G29*Assumptions!G34)*(1+Assumptions!G35)</f>
        <v/>
      </c>
      <c r="F11" s="12">
        <f>(Assumptions!H25*Assumptions!H30+Assumptions!H26*Assumptions!H31+Assumptions!H27*Assumptions!H32+Assumptions!H28*Assumptions!H33+Assumptions!H29*Assumptions!H34)*(1+Assumptions!H35)</f>
        <v/>
      </c>
    </row>
    <row r="12">
      <c r="A12" s="19" t="inlineStr">
        <is>
          <t>Legal / compliance</t>
        </is>
      </c>
      <c r="B12" s="12">
        <f>12*Assumptions!D37</f>
        <v/>
      </c>
      <c r="C12" s="12">
        <f>12*Assumptions!E37</f>
        <v/>
      </c>
      <c r="D12" s="12">
        <f>12*Assumptions!F37</f>
        <v/>
      </c>
      <c r="E12" s="12">
        <f>12*Assumptions!G37</f>
        <v/>
      </c>
      <c r="F12" s="12">
        <f>12*Assumptions!H37</f>
        <v/>
      </c>
    </row>
    <row r="13">
      <c r="A13" s="19" t="inlineStr">
        <is>
          <t>Accounting / finance</t>
        </is>
      </c>
      <c r="B13" s="12">
        <f>12*Assumptions!D38</f>
        <v/>
      </c>
      <c r="C13" s="12">
        <f>12*Assumptions!E38</f>
        <v/>
      </c>
      <c r="D13" s="12">
        <f>12*Assumptions!F38</f>
        <v/>
      </c>
      <c r="E13" s="12">
        <f>12*Assumptions!G38</f>
        <v/>
      </c>
      <c r="F13" s="12">
        <f>12*Assumptions!H38</f>
        <v/>
      </c>
    </row>
    <row r="14">
      <c r="A14" s="19" t="inlineStr">
        <is>
          <t>Security review / tooling</t>
        </is>
      </c>
      <c r="B14" s="12">
        <f>12*Assumptions!D39</f>
        <v/>
      </c>
      <c r="C14" s="12">
        <f>12*Assumptions!E39</f>
        <v/>
      </c>
      <c r="D14" s="12">
        <f>12*Assumptions!F39</f>
        <v/>
      </c>
      <c r="E14" s="12">
        <f>12*Assumptions!G39</f>
        <v/>
      </c>
      <c r="F14" s="12">
        <f>12*Assumptions!H39</f>
        <v/>
      </c>
    </row>
    <row r="15">
      <c r="A15" s="19" t="inlineStr">
        <is>
          <t>Marketing</t>
        </is>
      </c>
      <c r="B15" s="12">
        <f>MAX(12*Assumptions!D41,B6*Assumptions!D40)</f>
        <v/>
      </c>
      <c r="C15" s="12">
        <f>MAX(12*Assumptions!E41,C6*Assumptions!E40)</f>
        <v/>
      </c>
      <c r="D15" s="12">
        <f>MAX(12*Assumptions!F41,D6*Assumptions!F40)</f>
        <v/>
      </c>
      <c r="E15" s="12">
        <f>MAX(12*Assumptions!G41,E6*Assumptions!G40)</f>
        <v/>
      </c>
      <c r="F15" s="12">
        <f>MAX(12*Assumptions!H41,F6*Assumptions!H40)</f>
        <v/>
      </c>
    </row>
    <row r="16">
      <c r="A16" s="3" t="inlineStr">
        <is>
          <t>EBITDA</t>
        </is>
      </c>
      <c r="B16" s="12">
        <f>B10-SUM(B11:B15)</f>
        <v/>
      </c>
      <c r="C16" s="12">
        <f>C10-SUM(C11:C15)</f>
        <v/>
      </c>
      <c r="D16" s="12">
        <f>D10-SUM(D11:D15)</f>
        <v/>
      </c>
      <c r="E16" s="12">
        <f>E10-SUM(E11:E15)</f>
        <v/>
      </c>
      <c r="F16" s="12">
        <f>F10-SUM(F11:F15)</f>
        <v/>
      </c>
    </row>
    <row r="17">
      <c r="A17" s="3" t="inlineStr">
        <is>
          <t>EBITDA margin</t>
        </is>
      </c>
      <c r="B17" s="21">
        <f>IF(B6=0,0,B16/B6)</f>
        <v/>
      </c>
      <c r="C17" s="21">
        <f>IF(C6=0,0,C16/C6)</f>
        <v/>
      </c>
      <c r="D17" s="21">
        <f>IF(D6=0,0,D16/D6)</f>
        <v/>
      </c>
      <c r="E17" s="21">
        <f>IF(E6=0,0,E16/E6)</f>
        <v/>
      </c>
      <c r="F17" s="21">
        <f>IF(F6=0,0,F16/F6)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9" t="inlineStr">
        <is>
          <t>Metric</t>
        </is>
      </c>
      <c r="B1" s="9" t="inlineStr">
        <is>
          <t>Today</t>
        </is>
      </c>
      <c r="C1" s="9" t="inlineStr">
        <is>
          <t>Raise A</t>
        </is>
      </c>
      <c r="D1" s="9" t="inlineStr">
        <is>
          <t>Raise B</t>
        </is>
      </c>
      <c r="E1" s="9" t="inlineStr">
        <is>
          <t>Raise C</t>
        </is>
      </c>
    </row>
    <row r="2">
      <c r="A2" s="5" t="inlineStr">
        <is>
          <t>Current monthly platform cost</t>
        </is>
      </c>
      <c r="B2" s="12">
        <f>Today_Snapshot!B2</f>
        <v/>
      </c>
      <c r="C2" s="4" t="n"/>
      <c r="D2" s="4" t="n"/>
      <c r="E2" s="4" t="n"/>
    </row>
    <row r="3">
      <c r="A3" s="5" t="inlineStr">
        <is>
          <t>Current monthly governance / compliance cost</t>
        </is>
      </c>
      <c r="B3" s="12">
        <f>Today_Snapshot!B3</f>
        <v/>
      </c>
      <c r="C3" s="4" t="n"/>
      <c r="D3" s="4" t="n"/>
      <c r="E3" s="4" t="n"/>
    </row>
    <row r="4">
      <c r="A4" s="5" t="inlineStr">
        <is>
          <t>Current monthly revenue run-rate</t>
        </is>
      </c>
      <c r="B4" s="12">
        <f>Today_Snapshot!B4</f>
        <v/>
      </c>
      <c r="C4" s="4" t="n"/>
      <c r="D4" s="4" t="n"/>
      <c r="E4" s="4" t="n"/>
    </row>
    <row r="5">
      <c r="A5" s="5" t="inlineStr">
        <is>
          <t>Current monthly operating cost before revenue</t>
        </is>
      </c>
      <c r="B5" s="12">
        <f>Today_Snapshot!B5</f>
        <v/>
      </c>
      <c r="C5" s="4" t="n"/>
      <c r="D5" s="4" t="n"/>
      <c r="E5" s="4" t="n"/>
    </row>
    <row r="6">
      <c r="A6" s="5" t="inlineStr">
        <is>
          <t>Current monthly net burn after revenue</t>
        </is>
      </c>
      <c r="B6" s="18">
        <f>Today_Snapshot!B6</f>
        <v/>
      </c>
      <c r="C6" s="18" t="n"/>
      <c r="D6" s="18" t="n"/>
      <c r="E6" s="18" t="n"/>
    </row>
    <row r="7">
      <c r="A7" s="5" t="inlineStr">
        <is>
          <t>Runway months</t>
        </is>
      </c>
      <c r="B7" s="4">
        <f>IF($B$6=0,0,Assumptions!C43/$B$6)</f>
        <v/>
      </c>
      <c r="C7" s="4">
        <f>IF($B$6=0,0,Assumptions!C44/$B$6)</f>
        <v/>
      </c>
      <c r="D7" s="4">
        <f>IF($B$6=0,0,Assumptions!C45/$B$6)</f>
        <v/>
      </c>
      <c r="E7" s="4">
        <f>IF($B$6=0,0,Assumptions!C46/$B$6)</f>
        <v/>
      </c>
    </row>
    <row r="8">
      <c r="A8" s="3" t="inlineStr">
        <is>
          <t>Interpretation</t>
        </is>
      </c>
      <c r="B8" s="4" t="n"/>
      <c r="C8" s="4" t="n"/>
      <c r="D8" s="4" t="n"/>
      <c r="E8" s="4" t="n"/>
    </row>
    <row r="9">
      <c r="A9" s="5" t="inlineStr">
        <is>
          <t>Raise A = small pre-seed buffer</t>
        </is>
      </c>
      <c r="B9" s="4" t="n"/>
      <c r="C9" s="4" t="n"/>
      <c r="D9" s="4" t="n"/>
      <c r="E9" s="4" t="n"/>
    </row>
    <row r="10">
      <c r="A10" s="5" t="inlineStr">
        <is>
          <t>Raise B = realistic pre-seed / angel round</t>
        </is>
      </c>
      <c r="B10" s="4" t="n"/>
      <c r="C10" s="4" t="n"/>
      <c r="D10" s="4" t="n"/>
      <c r="E10" s="4" t="n"/>
    </row>
    <row r="11">
      <c r="A11" s="5" t="inlineStr">
        <is>
          <t>Raise C = larger seed runway case</t>
        </is>
      </c>
      <c r="B11" s="4" t="n"/>
      <c r="C11" s="4" t="n"/>
      <c r="D11" s="4" t="n"/>
      <c r="E1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Metric</t>
        </is>
      </c>
      <c r="B1" s="9" t="inlineStr">
        <is>
          <t>Y3</t>
        </is>
      </c>
      <c r="C1" s="9" t="inlineStr">
        <is>
          <t>Y4</t>
        </is>
      </c>
      <c r="D1" s="9" t="inlineStr">
        <is>
          <t>Y5</t>
        </is>
      </c>
    </row>
    <row r="2">
      <c r="A2" s="5" t="inlineStr">
        <is>
          <t>ARR</t>
        </is>
      </c>
      <c r="B2" s="12">
        <f>Forecast_5Y!D6</f>
        <v/>
      </c>
      <c r="C2" s="12">
        <f>Forecast_5Y!E6</f>
        <v/>
      </c>
      <c r="D2" s="12">
        <f>Forecast_5Y!F6</f>
        <v/>
      </c>
    </row>
    <row r="3">
      <c r="A3" s="5" t="n"/>
      <c r="B3" s="4" t="n"/>
      <c r="C3" s="4" t="n"/>
      <c r="D3" s="4" t="n"/>
    </row>
    <row r="4">
      <c r="A4" s="5" t="inlineStr">
        <is>
          <t>Low multiple</t>
        </is>
      </c>
      <c r="B4" s="22">
        <f>Assumptions!F47</f>
        <v/>
      </c>
      <c r="C4" s="22">
        <f>Assumptions!G47</f>
        <v/>
      </c>
      <c r="D4" s="22">
        <f>Assumptions!H47</f>
        <v/>
      </c>
    </row>
    <row r="5">
      <c r="A5" s="5" t="inlineStr">
        <is>
          <t>Base multiple</t>
        </is>
      </c>
      <c r="B5" s="22">
        <f>Assumptions!F48</f>
        <v/>
      </c>
      <c r="C5" s="22">
        <f>Assumptions!G48</f>
        <v/>
      </c>
      <c r="D5" s="22">
        <f>Assumptions!H48</f>
        <v/>
      </c>
    </row>
    <row r="6">
      <c r="A6" s="5" t="inlineStr">
        <is>
          <t>High multiple</t>
        </is>
      </c>
      <c r="B6" s="22">
        <f>Assumptions!F49</f>
        <v/>
      </c>
      <c r="C6" s="22">
        <f>Assumptions!G49</f>
        <v/>
      </c>
      <c r="D6" s="22">
        <f>Assumptions!H49</f>
        <v/>
      </c>
    </row>
    <row r="7">
      <c r="A7" s="5" t="n"/>
      <c r="B7" s="4" t="n"/>
      <c r="C7" s="4" t="n"/>
      <c r="D7" s="4" t="n"/>
    </row>
    <row r="8">
      <c r="A8" s="5" t="inlineStr">
        <is>
          <t>Implied valuation (low)</t>
        </is>
      </c>
      <c r="B8" s="12">
        <f>B2*B4</f>
        <v/>
      </c>
      <c r="C8" s="12">
        <f>C2*C4</f>
        <v/>
      </c>
      <c r="D8" s="12">
        <f>D2*D4</f>
        <v/>
      </c>
    </row>
    <row r="9">
      <c r="A9" s="5" t="inlineStr">
        <is>
          <t>Implied valuation (base)</t>
        </is>
      </c>
      <c r="B9" s="12">
        <f>B2*B5</f>
        <v/>
      </c>
      <c r="C9" s="12">
        <f>C2*C5</f>
        <v/>
      </c>
      <c r="D9" s="12">
        <f>D2*D5</f>
        <v/>
      </c>
    </row>
    <row r="10">
      <c r="A10" s="5" t="inlineStr">
        <is>
          <t>Implied valuation (high)</t>
        </is>
      </c>
      <c r="B10" s="12">
        <f>B2*B6</f>
        <v/>
      </c>
      <c r="C10" s="12">
        <f>C2*C6</f>
        <v/>
      </c>
      <c r="D10" s="12">
        <f>D2*D6</f>
        <v/>
      </c>
    </row>
    <row r="12">
      <c r="A12" s="23" t="inlineStr">
        <is>
          <t>Note</t>
        </is>
      </c>
      <c r="B12" t="inlineStr">
        <is>
          <t>Private ARR multiple scenarios, not public market 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9" t="inlineStr">
        <is>
          <t>Metric</t>
        </is>
      </c>
      <c r="B1" s="9" t="inlineStr">
        <is>
          <t>Today answer</t>
        </is>
      </c>
    </row>
    <row r="2">
      <c r="A2" s="5" t="inlineStr">
        <is>
          <t>Participant cost to use ChopDot</t>
        </is>
      </c>
      <c r="B2" s="4" t="inlineStr">
        <is>
          <t>$0 base software cost if included in an organizer account</t>
        </is>
      </c>
    </row>
    <row r="3">
      <c r="A3" s="5" t="inlineStr">
        <is>
          <t>Organizer Pro cost</t>
        </is>
      </c>
      <c r="B3" s="4">
        <f>TEXT(Assumptions!C3,"$0") &amp; "/mo"</f>
        <v/>
      </c>
    </row>
    <row r="4">
      <c r="A4" s="5" t="inlineStr">
        <is>
          <t>Community / Club cost</t>
        </is>
      </c>
      <c r="B4" s="4">
        <f>TEXT(Assumptions!C4,"$0") &amp; "/mo"</f>
        <v/>
      </c>
    </row>
    <row r="5">
      <c r="A5" s="5" t="inlineStr">
        <is>
          <t>SMB / Provider cost</t>
        </is>
      </c>
      <c r="B5" s="4">
        <f>TEXT(Assumptions!C5,"$0") &amp; "/mo"</f>
        <v/>
      </c>
    </row>
    <row r="6">
      <c r="A6" s="5" t="inlineStr">
        <is>
          <t>Optional external rail cost</t>
        </is>
      </c>
      <c r="B6" s="4" t="inlineStr">
        <is>
          <t>Bank/card/onchain fees passed through at cost; not modeled as ChopDot revenue today</t>
        </is>
      </c>
    </row>
    <row r="7">
      <c r="A7" s="5" t="inlineStr">
        <is>
          <t>Effective cost per member in 4-person Organizer Pro group</t>
        </is>
      </c>
      <c r="B7" s="4">
        <f>TEXT(Assumptions!C3/Assumptions!C13,"$0.00") &amp; "/mo"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2026-04-08T11:58:01Z</dcterms:created>
  <dcterms:modified xsi:type="dcterms:W3CDTF">2026-04-08T12:01:44Z</dcterms:modified>
</cp:coreProperties>
</file>